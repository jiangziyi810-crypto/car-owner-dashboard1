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iangziyi\Downloads\"/>
    </mc:Choice>
  </mc:AlternateContent>
  <xr:revisionPtr revIDLastSave="0" documentId="13_ncr:1_{8426B357-A33F-412F-90EF-754EBD8319D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y区域明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C2" i="1"/>
  <c r="D2" i="1" s="1"/>
</calcChain>
</file>

<file path=xl/sharedStrings.xml><?xml version="1.0" encoding="utf-8"?>
<sst xmlns="http://schemas.openxmlformats.org/spreadsheetml/2006/main" count="28" uniqueCount="28">
  <si>
    <t>锁单区域部门名称</t>
  </si>
  <si>
    <t>总净锁单量-当前周期</t>
  </si>
  <si>
    <t>合计</t>
  </si>
  <si>
    <t>福建战区</t>
  </si>
  <si>
    <t>上海战区</t>
  </si>
  <si>
    <t>桂琼战区</t>
  </si>
  <si>
    <t>重庆战区</t>
  </si>
  <si>
    <t>黑吉战区</t>
  </si>
  <si>
    <t>辽宁战区</t>
  </si>
  <si>
    <t>浙江大区</t>
  </si>
  <si>
    <t>河北战区</t>
  </si>
  <si>
    <t>安徽战区</t>
  </si>
  <si>
    <t>江苏战区</t>
  </si>
  <si>
    <t>江西战区</t>
  </si>
  <si>
    <t>广东大区</t>
  </si>
  <si>
    <t>四川大区</t>
  </si>
  <si>
    <t>山东大区</t>
  </si>
  <si>
    <t>北京战区</t>
  </si>
  <si>
    <t>晋蒙战区</t>
  </si>
  <si>
    <t>湖南战区</t>
  </si>
  <si>
    <t>天津战区</t>
  </si>
  <si>
    <t>湖北战区</t>
  </si>
  <si>
    <t>河南战区</t>
  </si>
  <si>
    <t>新青甘宁战区</t>
  </si>
  <si>
    <t>云贵战区</t>
  </si>
  <si>
    <t>陕西战区</t>
  </si>
  <si>
    <t>推荐订单量</t>
  </si>
  <si>
    <t>推荐订单占比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</si>
</sst>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#,###,###,##0"/>
  </numFmts>
  <fonts count="9">
    <font>
      <sz val="11"/>
      <color indexed="8"/>
      <name val="等线"/>
      <family val="2"/>
      <scheme val="minor"/>
    </font>
    <font>
      <b/>
      <sz val="12"/>
      <color rgb="FFFFFFFF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F8FAA"/>
      </patternFill>
    </fill>
    <fill>
      <patternFill patternType="solid">
        <fgColor rgb="FFD7D7E1"/>
      </patternFill>
    </fill>
    <fill>
      <patternFill patternType="solid">
        <fgColor rgb="FFF9F9FA"/>
      </patternFill>
    </fill>
    <fill>
      <patternFill patternType="solid">
        <fgColor rgb="FFF3F3F6"/>
      </patternFill>
    </fill>
  </fills>
  <borders count="2">
    <border>
      <left/>
      <right/>
      <top/>
      <bottom/>
      <diagonal/>
    </border>
    <border>
      <left style="thin">
        <color rgb="FFB6B6C7"/>
      </left>
      <right style="thin">
        <color rgb="FFB6B6C7"/>
      </right>
      <top style="thin">
        <color rgb="FFB6B6C7"/>
      </top>
      <bottom style="thin">
        <color rgb="FFB6B6C7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4" fillId="4" borderId="1" xfId="0" applyNumberFormat="1" applyFont="1" applyFill="1" applyBorder="1" applyAlignment="1">
      <alignment horizontal="left" vertical="center"/>
    </xf>
    <xf numFmtId="0" fontId="5" fillId="5" borderId="1" xfId="0" applyNumberFormat="1" applyFont="1" applyFill="1" applyBorder="1" applyAlignment="1">
      <alignment horizontal="left" vertical="center"/>
    </xf>
    <xf numFmtId="176" fontId="6" fillId="5" borderId="1" xfId="0" applyNumberFormat="1" applyFont="1" applyFill="1" applyBorder="1" applyAlignment="1">
      <alignment horizontal="right" vertical="center"/>
    </xf>
    <xf numFmtId="176" fontId="7" fillId="4" borderId="1" xfId="0" applyNumberFormat="1" applyFont="1" applyFill="1" applyBorder="1" applyAlignment="1">
      <alignment horizontal="right" vertical="center"/>
    </xf>
    <xf numFmtId="176" fontId="3" fillId="3" borderId="1" xfId="0" applyNumberFormat="1" applyFont="1" applyFill="1" applyBorder="1" applyAlignment="1">
      <alignment vertical="center"/>
    </xf>
    <xf numFmtId="176" fontId="6" fillId="5" borderId="1" xfId="0" applyNumberFormat="1" applyFont="1" applyFill="1" applyBorder="1" applyAlignment="1">
      <alignment vertical="center"/>
    </xf>
    <xf numFmtId="0" fontId="5" fillId="5" borderId="1" xfId="0" applyNumberFormat="1" applyFont="1" applyFill="1" applyBorder="1" applyAlignment="1">
      <alignment vertical="center"/>
    </xf>
    <xf numFmtId="176" fontId="7" fillId="4" borderId="1" xfId="0" applyNumberFormat="1" applyFont="1" applyFill="1" applyBorder="1" applyAlignment="1">
      <alignment vertical="center"/>
    </xf>
    <xf numFmtId="0" fontId="4" fillId="4" borderId="1" xfId="0" applyNumberFormat="1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tabSelected="1" zoomScale="70" zoomScaleNormal="70" workbookViewId="0">
      <pane ySplit="1" topLeftCell="A2" activePane="bottomLeft" state="frozen"/>
      <selection pane="bottomLeft" activeCell="C9" sqref="C9"/>
    </sheetView>
  </sheetViews>
  <sheetFormatPr defaultRowHeight="14"/>
  <cols>
    <col min="1" max="1" width="34" customWidth="1"/>
    <col min="2" max="2" width="38" customWidth="1"/>
    <col min="3" max="3" width="17.75" customWidth="1"/>
    <col min="4" max="4" width="26.08203125" customWidth="1"/>
  </cols>
  <sheetData>
    <row r="1" spans="1:4" ht="32" customHeight="1">
      <c r="A1" s="1" t="s">
        <v>0</v>
      </c>
      <c r="B1" s="1" t="s">
        <v>1</v>
      </c>
      <c r="C1" s="1" t="s">
        <v>26</v>
      </c>
      <c r="D1" s="1" t="s">
        <v>27</v>
      </c>
    </row>
    <row r="2" spans="1:4" ht="32" customHeight="1">
      <c r="A2" s="2" t="s">
        <v>2</v>
      </c>
      <c r="B2" s="7">
        <v>12837</v>
      </c>
      <c r="C2" s="7">
        <f>SUM(C3:C25)</f>
        <v>2617</v>
      </c>
      <c r="D2" s="7">
        <f>C2/B2</f>
        <v>0.20386383111318843</v>
      </c>
    </row>
    <row r="3" spans="1:4" ht="32" customHeight="1">
      <c r="A3" s="4" t="s">
        <v>3</v>
      </c>
      <c r="B3" s="8">
        <v>255</v>
      </c>
      <c r="C3" s="9">
        <v>72</v>
      </c>
      <c r="D3" s="8">
        <f t="shared" ref="D3:D25" si="0">C3/B3</f>
        <v>0.28235294117647058</v>
      </c>
    </row>
    <row r="4" spans="1:4" ht="32" customHeight="1">
      <c r="A4" s="3" t="s">
        <v>4</v>
      </c>
      <c r="B4" s="10">
        <v>682</v>
      </c>
      <c r="C4" s="11">
        <v>150</v>
      </c>
      <c r="D4" s="10">
        <f t="shared" si="0"/>
        <v>0.21994134897360704</v>
      </c>
    </row>
    <row r="5" spans="1:4" ht="32" customHeight="1">
      <c r="A5" s="4" t="s">
        <v>5</v>
      </c>
      <c r="B5" s="8">
        <v>145</v>
      </c>
      <c r="C5" s="9">
        <v>40</v>
      </c>
      <c r="D5" s="8">
        <f t="shared" si="0"/>
        <v>0.27586206896551724</v>
      </c>
    </row>
    <row r="6" spans="1:4" ht="32" customHeight="1">
      <c r="A6" s="3" t="s">
        <v>6</v>
      </c>
      <c r="B6" s="10">
        <v>247</v>
      </c>
      <c r="C6" s="11">
        <v>59</v>
      </c>
      <c r="D6" s="10">
        <f t="shared" si="0"/>
        <v>0.23886639676113361</v>
      </c>
    </row>
    <row r="7" spans="1:4" ht="32" customHeight="1">
      <c r="A7" s="4" t="s">
        <v>7</v>
      </c>
      <c r="B7" s="8">
        <v>464</v>
      </c>
      <c r="C7" s="9">
        <v>110</v>
      </c>
      <c r="D7" s="8">
        <f t="shared" si="0"/>
        <v>0.23706896551724138</v>
      </c>
    </row>
    <row r="8" spans="1:4" ht="32" customHeight="1">
      <c r="A8" s="3" t="s">
        <v>8</v>
      </c>
      <c r="B8" s="10">
        <v>460</v>
      </c>
      <c r="C8" s="11">
        <v>112</v>
      </c>
      <c r="D8" s="10">
        <f t="shared" si="0"/>
        <v>0.24347826086956523</v>
      </c>
    </row>
    <row r="9" spans="1:4" ht="32" customHeight="1">
      <c r="A9" s="4" t="s">
        <v>9</v>
      </c>
      <c r="B9" s="8">
        <v>1919</v>
      </c>
      <c r="C9" s="9">
        <v>420</v>
      </c>
      <c r="D9" s="8">
        <f t="shared" si="0"/>
        <v>0.21886399166232412</v>
      </c>
    </row>
    <row r="10" spans="1:4" ht="32" customHeight="1">
      <c r="A10" s="3" t="s">
        <v>10</v>
      </c>
      <c r="B10" s="10">
        <v>610</v>
      </c>
      <c r="C10" s="11">
        <v>155</v>
      </c>
      <c r="D10" s="10">
        <f t="shared" si="0"/>
        <v>0.25409836065573771</v>
      </c>
    </row>
    <row r="11" spans="1:4" ht="32" customHeight="1">
      <c r="A11" s="4" t="s">
        <v>11</v>
      </c>
      <c r="B11" s="8">
        <v>280</v>
      </c>
      <c r="C11" s="9">
        <v>66</v>
      </c>
      <c r="D11" s="8">
        <f t="shared" si="0"/>
        <v>0.23571428571428571</v>
      </c>
    </row>
    <row r="12" spans="1:4" ht="32" customHeight="1">
      <c r="A12" s="3" t="s">
        <v>12</v>
      </c>
      <c r="B12" s="10">
        <v>1256</v>
      </c>
      <c r="C12" s="11">
        <v>274</v>
      </c>
      <c r="D12" s="10">
        <f t="shared" si="0"/>
        <v>0.21815286624203822</v>
      </c>
    </row>
    <row r="13" spans="1:4" ht="32" customHeight="1">
      <c r="A13" s="4" t="s">
        <v>13</v>
      </c>
      <c r="B13" s="8">
        <v>169</v>
      </c>
      <c r="C13" s="9">
        <v>39</v>
      </c>
      <c r="D13" s="8">
        <f t="shared" si="0"/>
        <v>0.23076923076923078</v>
      </c>
    </row>
    <row r="14" spans="1:4" ht="32" customHeight="1">
      <c r="A14" s="3" t="s">
        <v>14</v>
      </c>
      <c r="B14" s="10">
        <v>1219</v>
      </c>
      <c r="C14" s="11">
        <v>243</v>
      </c>
      <c r="D14" s="10">
        <f t="shared" si="0"/>
        <v>0.19934372436423298</v>
      </c>
    </row>
    <row r="15" spans="1:4" ht="32" customHeight="1">
      <c r="A15" s="4" t="s">
        <v>15</v>
      </c>
      <c r="B15" s="8">
        <v>550</v>
      </c>
      <c r="C15" s="9">
        <v>107</v>
      </c>
      <c r="D15" s="8">
        <f t="shared" si="0"/>
        <v>0.19454545454545455</v>
      </c>
    </row>
    <row r="16" spans="1:4" ht="32" customHeight="1">
      <c r="A16" s="3" t="s">
        <v>16</v>
      </c>
      <c r="B16" s="10">
        <v>1030</v>
      </c>
      <c r="C16" s="11">
        <v>209</v>
      </c>
      <c r="D16" s="10">
        <f t="shared" si="0"/>
        <v>0.20291262135922331</v>
      </c>
    </row>
    <row r="17" spans="1:4" ht="32" customHeight="1">
      <c r="A17" s="4" t="s">
        <v>17</v>
      </c>
      <c r="B17" s="8">
        <v>705</v>
      </c>
      <c r="C17" s="9">
        <v>132</v>
      </c>
      <c r="D17" s="8">
        <f t="shared" si="0"/>
        <v>0.18723404255319148</v>
      </c>
    </row>
    <row r="18" spans="1:4" ht="32" customHeight="1">
      <c r="A18" s="3" t="s">
        <v>18</v>
      </c>
      <c r="B18" s="10">
        <v>421</v>
      </c>
      <c r="C18" s="11">
        <v>85</v>
      </c>
      <c r="D18" s="10">
        <f t="shared" si="0"/>
        <v>0.20190023752969122</v>
      </c>
    </row>
    <row r="19" spans="1:4" ht="32" customHeight="1">
      <c r="A19" s="4" t="s">
        <v>19</v>
      </c>
      <c r="B19" s="8">
        <v>225</v>
      </c>
      <c r="C19" s="9">
        <v>36</v>
      </c>
      <c r="D19" s="8">
        <f t="shared" si="0"/>
        <v>0.16</v>
      </c>
    </row>
    <row r="20" spans="1:4" ht="32" customHeight="1">
      <c r="A20" s="3" t="s">
        <v>20</v>
      </c>
      <c r="B20" s="10">
        <v>253</v>
      </c>
      <c r="C20" s="11">
        <v>49</v>
      </c>
      <c r="D20" s="10">
        <f t="shared" si="0"/>
        <v>0.19367588932806323</v>
      </c>
    </row>
    <row r="21" spans="1:4" ht="32" customHeight="1">
      <c r="A21" s="4" t="s">
        <v>21</v>
      </c>
      <c r="B21" s="8">
        <v>375</v>
      </c>
      <c r="C21" s="9">
        <v>60</v>
      </c>
      <c r="D21" s="8">
        <f t="shared" si="0"/>
        <v>0.16</v>
      </c>
    </row>
    <row r="22" spans="1:4" ht="32" customHeight="1">
      <c r="A22" s="3" t="s">
        <v>22</v>
      </c>
      <c r="B22" s="10">
        <v>599</v>
      </c>
      <c r="C22" s="11">
        <v>93</v>
      </c>
      <c r="D22" s="10">
        <f t="shared" si="0"/>
        <v>0.15525876460767946</v>
      </c>
    </row>
    <row r="23" spans="1:4" ht="32" customHeight="1">
      <c r="A23" s="4" t="s">
        <v>23</v>
      </c>
      <c r="B23" s="8">
        <v>208</v>
      </c>
      <c r="C23" s="9">
        <v>27</v>
      </c>
      <c r="D23" s="8">
        <f t="shared" si="0"/>
        <v>0.12980769230769232</v>
      </c>
    </row>
    <row r="24" spans="1:4" ht="32" customHeight="1">
      <c r="A24" s="3" t="s">
        <v>24</v>
      </c>
      <c r="B24" s="6">
        <v>219</v>
      </c>
      <c r="C24" s="3">
        <v>30</v>
      </c>
      <c r="D24" s="6">
        <f t="shared" si="0"/>
        <v>0.13698630136986301</v>
      </c>
    </row>
    <row r="25" spans="1:4" ht="32" customHeight="1">
      <c r="A25" s="4" t="s">
        <v>25</v>
      </c>
      <c r="B25" s="5">
        <v>339</v>
      </c>
      <c r="C25" s="4">
        <v>49</v>
      </c>
      <c r="D25" s="5">
        <f t="shared" si="0"/>
        <v>0.14454277286135694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by区域明细表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姜子怡</cp:lastModifiedBy>
  <dcterms:created xsi:type="dcterms:W3CDTF">2026-09-06T16:10:09Z</dcterms:created>
  <dcterms:modified xsi:type="dcterms:W3CDTF">2026-09-06T16:20:36Z</dcterms:modified>
</cp:coreProperties>
</file>