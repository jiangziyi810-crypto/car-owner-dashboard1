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iangziyi\Downloads\car-owner-dashboard-github-auto\"/>
    </mc:Choice>
  </mc:AlternateContent>
  <xr:revisionPtr revIDLastSave="0" documentId="13_ncr:1_{878EE5EC-E50F-47AC-8ABD-CAD125D92D5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y区域明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6" i="1" l="1"/>
  <c r="D5" i="1"/>
  <c r="D4" i="1"/>
  <c r="D24" i="1"/>
  <c r="D12" i="1"/>
  <c r="D23" i="1"/>
  <c r="D11" i="1"/>
  <c r="D22" i="1"/>
  <c r="D10" i="1"/>
  <c r="D21" i="1"/>
  <c r="D9" i="1"/>
  <c r="D20" i="1"/>
  <c r="D8" i="1"/>
  <c r="D19" i="1"/>
  <c r="D7" i="1"/>
  <c r="D18" i="1"/>
  <c r="D17" i="1"/>
  <c r="D16" i="1"/>
  <c r="D15" i="1"/>
  <c r="D14" i="1"/>
  <c r="D25" i="1"/>
  <c r="D13" i="1"/>
  <c r="C2" i="1"/>
  <c r="D2" i="1" s="1"/>
</calcChain>
</file>

<file path=xl/sharedStrings.xml><?xml version="1.0" encoding="utf-8"?>
<sst xmlns="http://schemas.openxmlformats.org/spreadsheetml/2006/main" count="28" uniqueCount="28">
  <si>
    <t>锁单区域部门名称</t>
  </si>
  <si>
    <t>总净锁单量-当前周期</t>
  </si>
  <si>
    <t>合计</t>
  </si>
  <si>
    <t>福建战区</t>
  </si>
  <si>
    <t>上海战区</t>
  </si>
  <si>
    <t>桂琼战区</t>
  </si>
  <si>
    <t>重庆战区</t>
  </si>
  <si>
    <t>黑吉战区</t>
  </si>
  <si>
    <t>辽宁战区</t>
  </si>
  <si>
    <t>浙江大区</t>
  </si>
  <si>
    <t>河北战区</t>
  </si>
  <si>
    <t>安徽战区</t>
  </si>
  <si>
    <t>江苏战区</t>
  </si>
  <si>
    <t>江西战区</t>
  </si>
  <si>
    <t>广东大区</t>
  </si>
  <si>
    <t>四川大区</t>
  </si>
  <si>
    <t>山东大区</t>
  </si>
  <si>
    <t>北京战区</t>
  </si>
  <si>
    <t>晋蒙战区</t>
  </si>
  <si>
    <t>湖南战区</t>
  </si>
  <si>
    <t>天津战区</t>
  </si>
  <si>
    <t>湖北战区</t>
  </si>
  <si>
    <t>河南战区</t>
  </si>
  <si>
    <t>新青甘宁战区</t>
  </si>
  <si>
    <t>云贵战区</t>
  </si>
  <si>
    <t>陕西战区</t>
  </si>
  <si>
    <t>推荐订单量</t>
  </si>
  <si>
    <t>推荐订单占比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</si>
</sst>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#,###,###,###,##0"/>
  </numFmts>
  <fonts count="10">
    <font>
      <sz val="11"/>
      <color indexed="8"/>
      <name val="等线"/>
      <family val="2"/>
      <scheme val="minor"/>
    </font>
    <font>
      <b/>
      <sz val="12"/>
      <color rgb="FFFFFFFF"/>
      <name val="Microsoft YaHei"/>
      <family val="2"/>
      <charset val="134"/>
    </font>
    <font>
      <sz val="12"/>
      <color rgb="FF000000"/>
      <name val="Microsoft YaHei"/>
      <family val="2"/>
      <charset val="134"/>
    </font>
    <font>
      <sz val="12"/>
      <color rgb="FF000000"/>
      <name val="Microsoft YaHei"/>
      <family val="2"/>
      <charset val="134"/>
    </font>
    <font>
      <sz val="12"/>
      <color rgb="FF000000"/>
      <name val="Microsoft YaHei"/>
      <family val="2"/>
      <charset val="134"/>
    </font>
    <font>
      <sz val="12"/>
      <color rgb="FF000000"/>
      <name val="Microsoft YaHei"/>
      <family val="2"/>
      <charset val="134"/>
    </font>
    <font>
      <sz val="12"/>
      <color rgb="FF000000"/>
      <name val="Microsoft YaHei"/>
      <family val="2"/>
      <charset val="134"/>
    </font>
    <font>
      <sz val="12"/>
      <color rgb="FF000000"/>
      <name val="Microsoft YaHei"/>
      <family val="2"/>
      <charset val="134"/>
    </font>
    <font>
      <sz val="9"/>
      <name val="等线"/>
      <family val="3"/>
      <charset val="134"/>
      <scheme val="minor"/>
    </font>
    <font>
      <sz val="11"/>
      <color indexed="8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F8FAA"/>
      </patternFill>
    </fill>
    <fill>
      <patternFill patternType="solid">
        <fgColor rgb="FFD7D7E1"/>
      </patternFill>
    </fill>
    <fill>
      <patternFill patternType="solid">
        <fgColor rgb="FFF9F9FA"/>
      </patternFill>
    </fill>
    <fill>
      <patternFill patternType="solid">
        <fgColor rgb="FFF3F3F6"/>
      </patternFill>
    </fill>
  </fills>
  <borders count="2">
    <border>
      <left/>
      <right/>
      <top/>
      <bottom/>
      <diagonal/>
    </border>
    <border>
      <left style="thin">
        <color rgb="FFB6B6C7"/>
      </left>
      <right style="thin">
        <color rgb="FFB6B6C7"/>
      </right>
      <top style="thin">
        <color rgb="FFB6B6C7"/>
      </top>
      <bottom style="thin">
        <color rgb="FFB6B6C7"/>
      </bottom>
      <diagonal/>
    </border>
  </borders>
  <cellStyleXfs count="2">
    <xf numFmtId="0" fontId="0" fillId="0" borderId="0">
      <alignment vertical="center"/>
    </xf>
    <xf numFmtId="9" fontId="9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4" fillId="4" borderId="1" xfId="0" applyNumberFormat="1" applyFont="1" applyFill="1" applyBorder="1" applyAlignment="1">
      <alignment horizontal="left" vertical="center"/>
    </xf>
    <xf numFmtId="0" fontId="5" fillId="5" borderId="1" xfId="0" applyNumberFormat="1" applyFont="1" applyFill="1" applyBorder="1" applyAlignment="1">
      <alignment horizontal="left" vertical="center"/>
    </xf>
    <xf numFmtId="176" fontId="6" fillId="5" borderId="1" xfId="0" applyNumberFormat="1" applyFont="1" applyFill="1" applyBorder="1" applyAlignment="1">
      <alignment horizontal="right" vertical="center"/>
    </xf>
    <xf numFmtId="176" fontId="7" fillId="4" borderId="1" xfId="0" applyNumberFormat="1" applyFont="1" applyFill="1" applyBorder="1" applyAlignment="1">
      <alignment horizontal="right" vertical="center"/>
    </xf>
    <xf numFmtId="176" fontId="3" fillId="3" borderId="1" xfId="0" applyNumberFormat="1" applyFont="1" applyFill="1" applyBorder="1" applyAlignment="1">
      <alignment vertical="center"/>
    </xf>
    <xf numFmtId="176" fontId="6" fillId="5" borderId="1" xfId="0" applyNumberFormat="1" applyFont="1" applyFill="1" applyBorder="1" applyAlignment="1">
      <alignment vertical="center"/>
    </xf>
    <xf numFmtId="0" fontId="5" fillId="5" borderId="1" xfId="0" applyNumberFormat="1" applyFont="1" applyFill="1" applyBorder="1" applyAlignment="1">
      <alignment vertical="center"/>
    </xf>
    <xf numFmtId="176" fontId="7" fillId="4" borderId="1" xfId="0" applyNumberFormat="1" applyFont="1" applyFill="1" applyBorder="1" applyAlignment="1">
      <alignment vertical="center"/>
    </xf>
    <xf numFmtId="0" fontId="4" fillId="4" borderId="1" xfId="0" applyNumberFormat="1" applyFont="1" applyFill="1" applyBorder="1" applyAlignment="1">
      <alignment vertical="center"/>
    </xf>
    <xf numFmtId="9" fontId="6" fillId="5" borderId="1" xfId="1" applyFont="1" applyFill="1" applyBorder="1" applyAlignment="1">
      <alignment vertical="center"/>
    </xf>
    <xf numFmtId="9" fontId="7" fillId="4" borderId="1" xfId="1" applyFont="1" applyFill="1" applyBorder="1" applyAlignment="1">
      <alignment vertical="center"/>
    </xf>
    <xf numFmtId="9" fontId="7" fillId="4" borderId="1" xfId="1" applyFont="1" applyFill="1" applyBorder="1" applyAlignment="1">
      <alignment horizontal="right" vertical="center"/>
    </xf>
    <xf numFmtId="9" fontId="6" fillId="5" borderId="1" xfId="1" applyFont="1" applyFill="1" applyBorder="1" applyAlignment="1">
      <alignment horizontal="right" vertical="center"/>
    </xf>
    <xf numFmtId="0" fontId="4" fillId="4" borderId="1" xfId="0" applyNumberFormat="1" applyFont="1" applyFill="1" applyBorder="1" applyAlignment="1">
      <alignment horizontal="right" vertical="center"/>
    </xf>
    <xf numFmtId="0" fontId="5" fillId="5" borderId="1" xfId="0" applyNumberFormat="1" applyFont="1" applyFill="1" applyBorder="1" applyAlignment="1">
      <alignment horizontal="right" vertical="center"/>
    </xf>
    <xf numFmtId="9" fontId="3" fillId="3" borderId="1" xfId="1" applyNumberFormat="1" applyFont="1" applyFill="1" applyBorder="1" applyAlignment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zoomScale="70" zoomScaleNormal="70" workbookViewId="0">
      <pane ySplit="1" topLeftCell="A2" activePane="bottomLeft" state="frozen"/>
      <selection pane="bottomLeft" activeCell="C5" sqref="C5"/>
    </sheetView>
  </sheetViews>
  <sheetFormatPr defaultRowHeight="14"/>
  <cols>
    <col min="1" max="1" width="34" customWidth="1"/>
    <col min="2" max="2" width="38" customWidth="1"/>
    <col min="3" max="3" width="17.75" customWidth="1"/>
    <col min="4" max="4" width="26.08203125" customWidth="1"/>
  </cols>
  <sheetData>
    <row r="1" spans="1:4" ht="32" customHeight="1">
      <c r="A1" s="1" t="s">
        <v>0</v>
      </c>
      <c r="B1" s="1" t="s">
        <v>1</v>
      </c>
      <c r="C1" s="1" t="s">
        <v>26</v>
      </c>
      <c r="D1" s="1" t="s">
        <v>27</v>
      </c>
    </row>
    <row r="2" spans="1:4" ht="32" customHeight="1">
      <c r="A2" s="2" t="s">
        <v>2</v>
      </c>
      <c r="B2" s="7">
        <v>29300</v>
      </c>
      <c r="C2" s="7">
        <f>SUM(C3:C25)</f>
        <v>6937</v>
      </c>
      <c r="D2" s="18">
        <f>C2/B2</f>
        <v>0.23675767918088736</v>
      </c>
    </row>
    <row r="3" spans="1:4" ht="32" customHeight="1">
      <c r="A3" s="4" t="s">
        <v>3</v>
      </c>
      <c r="B3" s="8">
        <v>580</v>
      </c>
      <c r="C3" s="9">
        <v>168</v>
      </c>
      <c r="D3" s="12">
        <f>C3/B3</f>
        <v>0.28965517241379313</v>
      </c>
    </row>
    <row r="4" spans="1:4" ht="32" customHeight="1">
      <c r="A4" s="3" t="s">
        <v>4</v>
      </c>
      <c r="B4" s="10">
        <v>1300</v>
      </c>
      <c r="C4" s="11">
        <v>345</v>
      </c>
      <c r="D4" s="13">
        <f t="shared" ref="D4:D25" si="0">C4/B4</f>
        <v>0.26538461538461539</v>
      </c>
    </row>
    <row r="5" spans="1:4" ht="32" customHeight="1">
      <c r="A5" s="4" t="s">
        <v>5</v>
      </c>
      <c r="B5" s="8">
        <v>382</v>
      </c>
      <c r="C5" s="9">
        <v>108</v>
      </c>
      <c r="D5" s="12">
        <f t="shared" si="0"/>
        <v>0.28272251308900526</v>
      </c>
    </row>
    <row r="6" spans="1:4" ht="32" customHeight="1">
      <c r="A6" s="3" t="s">
        <v>6</v>
      </c>
      <c r="B6" s="10">
        <v>592</v>
      </c>
      <c r="C6" s="11">
        <v>133</v>
      </c>
      <c r="D6" s="13">
        <f t="shared" si="0"/>
        <v>0.22466216216216217</v>
      </c>
    </row>
    <row r="7" spans="1:4" ht="32" customHeight="1">
      <c r="A7" s="4" t="s">
        <v>7</v>
      </c>
      <c r="B7" s="8">
        <v>1128</v>
      </c>
      <c r="C7" s="9">
        <v>312</v>
      </c>
      <c r="D7" s="12">
        <f t="shared" si="0"/>
        <v>0.27659574468085107</v>
      </c>
    </row>
    <row r="8" spans="1:4" ht="32" customHeight="1">
      <c r="A8" s="3" t="s">
        <v>8</v>
      </c>
      <c r="B8" s="10">
        <v>1085</v>
      </c>
      <c r="C8" s="11">
        <v>305</v>
      </c>
      <c r="D8" s="13">
        <f t="shared" si="0"/>
        <v>0.28110599078341014</v>
      </c>
    </row>
    <row r="9" spans="1:4" ht="32" customHeight="1">
      <c r="A9" s="4" t="s">
        <v>9</v>
      </c>
      <c r="B9" s="8">
        <v>3863</v>
      </c>
      <c r="C9" s="9">
        <v>1012</v>
      </c>
      <c r="D9" s="12">
        <f t="shared" si="0"/>
        <v>0.26197256018638365</v>
      </c>
    </row>
    <row r="10" spans="1:4" ht="32" customHeight="1">
      <c r="A10" s="3" t="s">
        <v>10</v>
      </c>
      <c r="B10" s="10">
        <v>1459</v>
      </c>
      <c r="C10" s="11">
        <v>397</v>
      </c>
      <c r="D10" s="13">
        <f t="shared" si="0"/>
        <v>0.27210418094585331</v>
      </c>
    </row>
    <row r="11" spans="1:4" ht="32" customHeight="1">
      <c r="A11" s="4" t="s">
        <v>11</v>
      </c>
      <c r="B11" s="8">
        <v>766</v>
      </c>
      <c r="C11" s="9">
        <v>192</v>
      </c>
      <c r="D11" s="12">
        <f t="shared" si="0"/>
        <v>0.25065274151436029</v>
      </c>
    </row>
    <row r="12" spans="1:4" ht="32" customHeight="1">
      <c r="A12" s="3" t="s">
        <v>12</v>
      </c>
      <c r="B12" s="10">
        <v>2915</v>
      </c>
      <c r="C12" s="11">
        <v>741</v>
      </c>
      <c r="D12" s="13">
        <f t="shared" si="0"/>
        <v>0.25420240137221267</v>
      </c>
    </row>
    <row r="13" spans="1:4" ht="32" customHeight="1">
      <c r="A13" s="4" t="s">
        <v>13</v>
      </c>
      <c r="B13" s="8">
        <v>399</v>
      </c>
      <c r="C13" s="9">
        <v>106</v>
      </c>
      <c r="D13" s="12">
        <f t="shared" si="0"/>
        <v>0.26566416040100249</v>
      </c>
    </row>
    <row r="14" spans="1:4" ht="32" customHeight="1">
      <c r="A14" s="3" t="s">
        <v>14</v>
      </c>
      <c r="B14" s="10">
        <v>2794</v>
      </c>
      <c r="C14" s="11">
        <v>628</v>
      </c>
      <c r="D14" s="13">
        <f t="shared" si="0"/>
        <v>0.22476735862562633</v>
      </c>
    </row>
    <row r="15" spans="1:4" ht="32" customHeight="1">
      <c r="A15" s="4" t="s">
        <v>15</v>
      </c>
      <c r="B15" s="8">
        <v>1713</v>
      </c>
      <c r="C15" s="9">
        <v>409</v>
      </c>
      <c r="D15" s="12">
        <f t="shared" si="0"/>
        <v>0.23876240513718622</v>
      </c>
    </row>
    <row r="16" spans="1:4" ht="32" customHeight="1">
      <c r="A16" s="3" t="s">
        <v>16</v>
      </c>
      <c r="B16" s="10">
        <v>2154</v>
      </c>
      <c r="C16" s="11">
        <v>500</v>
      </c>
      <c r="D16" s="13">
        <f t="shared" si="0"/>
        <v>0.23212627669452182</v>
      </c>
    </row>
    <row r="17" spans="1:4" ht="32" customHeight="1">
      <c r="A17" s="4" t="s">
        <v>17</v>
      </c>
      <c r="B17" s="8">
        <v>1404</v>
      </c>
      <c r="C17" s="9">
        <v>310</v>
      </c>
      <c r="D17" s="12">
        <f t="shared" si="0"/>
        <v>0.22079772079772081</v>
      </c>
    </row>
    <row r="18" spans="1:4" ht="32" customHeight="1">
      <c r="A18" s="3" t="s">
        <v>18</v>
      </c>
      <c r="B18" s="10">
        <v>1044</v>
      </c>
      <c r="C18" s="11">
        <v>276</v>
      </c>
      <c r="D18" s="13">
        <f t="shared" si="0"/>
        <v>0.26436781609195403</v>
      </c>
    </row>
    <row r="19" spans="1:4" ht="32" customHeight="1">
      <c r="A19" s="4" t="s">
        <v>19</v>
      </c>
      <c r="B19" s="8">
        <v>577</v>
      </c>
      <c r="C19" s="9">
        <v>116</v>
      </c>
      <c r="D19" s="12">
        <f t="shared" si="0"/>
        <v>0.20103986135181975</v>
      </c>
    </row>
    <row r="20" spans="1:4" ht="32" customHeight="1">
      <c r="A20" s="3" t="s">
        <v>20</v>
      </c>
      <c r="B20" s="10">
        <v>578</v>
      </c>
      <c r="C20" s="11">
        <v>116</v>
      </c>
      <c r="D20" s="13">
        <f t="shared" si="0"/>
        <v>0.20069204152249134</v>
      </c>
    </row>
    <row r="21" spans="1:4" ht="32" customHeight="1">
      <c r="A21" s="4" t="s">
        <v>21</v>
      </c>
      <c r="B21" s="8">
        <v>874</v>
      </c>
      <c r="C21" s="9">
        <v>179</v>
      </c>
      <c r="D21" s="12">
        <f t="shared" si="0"/>
        <v>0.20480549199084669</v>
      </c>
    </row>
    <row r="22" spans="1:4" ht="32" customHeight="1">
      <c r="A22" s="3" t="s">
        <v>22</v>
      </c>
      <c r="B22" s="10">
        <v>1498</v>
      </c>
      <c r="C22" s="11">
        <v>231</v>
      </c>
      <c r="D22" s="13">
        <f t="shared" si="0"/>
        <v>0.1542056074766355</v>
      </c>
    </row>
    <row r="23" spans="1:4" ht="32" customHeight="1">
      <c r="A23" s="4" t="s">
        <v>23</v>
      </c>
      <c r="B23" s="8">
        <v>533</v>
      </c>
      <c r="C23" s="9">
        <v>97</v>
      </c>
      <c r="D23" s="12">
        <f t="shared" si="0"/>
        <v>0.18198874296435272</v>
      </c>
    </row>
    <row r="24" spans="1:4" ht="32" customHeight="1">
      <c r="A24" s="3" t="s">
        <v>24</v>
      </c>
      <c r="B24" s="6">
        <v>549</v>
      </c>
      <c r="C24" s="16">
        <v>99</v>
      </c>
      <c r="D24" s="14">
        <f t="shared" si="0"/>
        <v>0.18032786885245902</v>
      </c>
    </row>
    <row r="25" spans="1:4" ht="32" customHeight="1">
      <c r="A25" s="4" t="s">
        <v>25</v>
      </c>
      <c r="B25" s="5">
        <v>880</v>
      </c>
      <c r="C25" s="17">
        <v>157</v>
      </c>
      <c r="D25" s="15">
        <f t="shared" si="0"/>
        <v>0.17840909090909091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by区域明细表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姜子怡</cp:lastModifiedBy>
  <dcterms:created xsi:type="dcterms:W3CDTF">2026-09-06T16:10:09Z</dcterms:created>
  <dcterms:modified xsi:type="dcterms:W3CDTF">2026-09-07T01:36:58Z</dcterms:modified>
</cp:coreProperties>
</file>