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iangziyi\Downloads\car-owner-dashboard-github-auto\"/>
    </mc:Choice>
  </mc:AlternateContent>
  <xr:revisionPtr revIDLastSave="0" documentId="13_ncr:1_{126C1392-3C9E-4204-BC52-B698E6ECEC1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y区域明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D4" i="1"/>
  <c r="D5" i="1"/>
  <c r="D6" i="1"/>
  <c r="D7" i="1"/>
  <c r="D8" i="1"/>
  <c r="D10" i="1"/>
  <c r="D11" i="1"/>
  <c r="D12" i="1"/>
  <c r="D13" i="1"/>
  <c r="D14" i="1"/>
  <c r="D15" i="1"/>
  <c r="D16" i="1"/>
  <c r="D17" i="1"/>
  <c r="D18" i="1"/>
  <c r="D19" i="1"/>
  <c r="D20" i="1"/>
  <c r="D22" i="1"/>
  <c r="D23" i="1"/>
  <c r="D24" i="1"/>
  <c r="D25" i="1"/>
  <c r="C2" i="1" l="1"/>
  <c r="D3" i="1"/>
  <c r="G3" i="1" s="1" a="1"/>
  <c r="G3" i="1" s="1"/>
  <c r="F3" i="1" a="1"/>
  <c r="F3" i="1" s="1"/>
  <c r="D21" i="1"/>
  <c r="D9" i="1"/>
  <c r="D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<sst xmlns="http://schemas.openxmlformats.org/spreadsheetml/2006/main" count="52" uniqueCount="28">
  <si>
    <t>锁单区域部门名称</t>
  </si>
  <si>
    <t>总净锁单量-当前周期</t>
  </si>
  <si>
    <t>推荐定单量-当前周期</t>
  </si>
  <si>
    <t>推荐定单占比-当前周期</t>
  </si>
  <si>
    <t>合计</t>
  </si>
  <si>
    <t>上海战区</t>
  </si>
  <si>
    <t>福建战区</t>
  </si>
  <si>
    <t>浙江大区</t>
  </si>
  <si>
    <t>黑吉战区</t>
  </si>
  <si>
    <t>辽宁战区</t>
  </si>
  <si>
    <t>河北战区</t>
  </si>
  <si>
    <t>晋蒙战区</t>
  </si>
  <si>
    <t>桂琼战区</t>
  </si>
  <si>
    <t>安徽战区</t>
  </si>
  <si>
    <t>江苏战区</t>
  </si>
  <si>
    <t>江西战区</t>
  </si>
  <si>
    <t>山东大区</t>
  </si>
  <si>
    <t>广东大区</t>
  </si>
  <si>
    <t>重庆战区</t>
  </si>
  <si>
    <t>四川大区</t>
  </si>
  <si>
    <t>北京战区</t>
  </si>
  <si>
    <t>湖南战区</t>
  </si>
  <si>
    <t>湖北战区</t>
  </si>
  <si>
    <t>新青甘宁战区</t>
  </si>
  <si>
    <t>云贵战区</t>
  </si>
  <si>
    <t>陕西战区</t>
  </si>
  <si>
    <t>天津战区</t>
  </si>
  <si>
    <t>河南战区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</si>
</sst>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##,###,###,###,###,##0"/>
    <numFmt numFmtId="177" formatCode="###,###,###,###,###,##0.0%"/>
    <numFmt numFmtId="178" formatCode="0.0%"/>
  </numFmts>
  <fonts count="14">
    <font>
      <sz val="11"/>
      <color indexed="8"/>
      <name val="等线"/>
      <family val="2"/>
      <scheme val="minor"/>
    </font>
    <font>
      <b/>
      <sz val="12"/>
      <color rgb="FFFFFFFF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sz val="18"/>
      <color rgb="FF000000"/>
      <name val="Microsoft YaHei"/>
      <family val="2"/>
      <charset val="134"/>
    </font>
    <font>
      <sz val="18"/>
      <color rgb="FFFFFFFF"/>
      <name val="Microsoft YaHei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8F8FAA"/>
      </patternFill>
    </fill>
    <fill>
      <patternFill patternType="solid">
        <fgColor rgb="FFD7D7E1"/>
      </patternFill>
    </fill>
    <fill>
      <patternFill patternType="solid">
        <fgColor rgb="FFF9F9FA"/>
      </patternFill>
    </fill>
    <fill>
      <patternFill patternType="solid">
        <fgColor rgb="FFF3F3F6"/>
      </patternFill>
    </fill>
    <fill>
      <patternFill patternType="solid">
        <fgColor rgb="FFE7EDED"/>
      </patternFill>
    </fill>
    <fill>
      <patternFill patternType="solid">
        <fgColor rgb="FFF3F6F6"/>
      </patternFill>
    </fill>
    <fill>
      <patternFill patternType="solid">
        <fgColor rgb="FFAEC2C2"/>
      </patternFill>
    </fill>
  </fills>
  <borders count="3">
    <border>
      <left/>
      <right/>
      <top/>
      <bottom/>
      <diagonal/>
    </border>
    <border>
      <left style="thin">
        <color rgb="FFB6B6C7"/>
      </left>
      <right style="thin">
        <color rgb="FFB6B6C7"/>
      </right>
      <top style="thin">
        <color rgb="FFB6B6C7"/>
      </top>
      <bottom style="thin">
        <color rgb="FFB6B6C7"/>
      </bottom>
      <diagonal/>
    </border>
    <border>
      <left style="thin">
        <color rgb="FF698E8E"/>
      </left>
      <right style="thin">
        <color rgb="FF698E8E"/>
      </right>
      <top style="thin">
        <color rgb="FF698E8E"/>
      </top>
      <bottom style="thin">
        <color rgb="FF698E8E"/>
      </bottom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76" fontId="3" fillId="3" borderId="1" xfId="0" applyNumberFormat="1" applyFont="1" applyFill="1" applyBorder="1" applyAlignment="1">
      <alignment horizontal="right" vertical="center"/>
    </xf>
    <xf numFmtId="177" fontId="4" fillId="3" borderId="1" xfId="0" applyNumberFormat="1" applyFont="1" applyFill="1" applyBorder="1" applyAlignment="1">
      <alignment horizontal="right" vertical="center"/>
    </xf>
    <xf numFmtId="0" fontId="5" fillId="4" borderId="1" xfId="0" applyNumberFormat="1" applyFont="1" applyFill="1" applyBorder="1" applyAlignment="1">
      <alignment horizontal="left" vertical="center"/>
    </xf>
    <xf numFmtId="0" fontId="6" fillId="5" borderId="1" xfId="0" applyNumberFormat="1" applyFont="1" applyFill="1" applyBorder="1" applyAlignment="1">
      <alignment horizontal="left" vertical="center"/>
    </xf>
    <xf numFmtId="176" fontId="7" fillId="5" borderId="1" xfId="0" applyNumberFormat="1" applyFont="1" applyFill="1" applyBorder="1" applyAlignment="1">
      <alignment horizontal="right" vertical="center"/>
    </xf>
    <xf numFmtId="177" fontId="8" fillId="5" borderId="1" xfId="0" applyNumberFormat="1" applyFont="1" applyFill="1" applyBorder="1" applyAlignment="1">
      <alignment horizontal="right" vertical="center"/>
    </xf>
    <xf numFmtId="176" fontId="9" fillId="4" borderId="1" xfId="0" applyNumberFormat="1" applyFont="1" applyFill="1" applyBorder="1" applyAlignment="1">
      <alignment horizontal="right" vertical="center"/>
    </xf>
    <xf numFmtId="0" fontId="12" fillId="6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178" fontId="0" fillId="0" borderId="0" xfId="1" applyNumberFormat="1" applyFont="1">
      <alignment vertical="center"/>
    </xf>
  </cellXfs>
  <cellStyles count="2">
    <cellStyle name="百分比" xfId="1" builtinId="5"/>
    <cellStyle name="常规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="47" zoomScaleNormal="85" workbookViewId="0">
      <pane ySplit="1" topLeftCell="A2" activePane="bottomLeft" state="frozen"/>
      <selection pane="bottomLeft" activeCell="E1" sqref="E1:G1048576"/>
    </sheetView>
  </sheetViews>
  <sheetFormatPr defaultRowHeight="14"/>
  <cols>
    <col min="1" max="1" width="34" customWidth="1"/>
    <col min="2" max="3" width="38" customWidth="1"/>
    <col min="4" max="4" width="41" customWidth="1"/>
    <col min="5" max="5" width="27.08203125" hidden="1" customWidth="1"/>
    <col min="6" max="6" width="0" hidden="1" customWidth="1"/>
    <col min="7" max="7" width="25" hidden="1" customWidth="1"/>
  </cols>
  <sheetData>
    <row r="1" spans="1:7" ht="3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7" ht="32" customHeight="1">
      <c r="A2" s="2" t="s">
        <v>4</v>
      </c>
      <c r="B2" s="3">
        <f>SUM(B3:B25)</f>
        <v>36597</v>
      </c>
      <c r="C2" s="3">
        <f>SUM(C3:C25)</f>
        <v>8459</v>
      </c>
      <c r="D2" s="4">
        <f>C2/B2</f>
        <v>0.23113916441238352</v>
      </c>
    </row>
    <row r="3" spans="1:7" ht="32" customHeight="1">
      <c r="A3" s="6" t="s">
        <v>5</v>
      </c>
      <c r="B3" s="7">
        <v>1633</v>
      </c>
      <c r="C3" s="7">
        <v>425</v>
      </c>
      <c r="D3" s="8">
        <f>C3/B3</f>
        <v>0.26025719534598896</v>
      </c>
      <c r="E3" s="10" t="s">
        <v>5</v>
      </c>
      <c r="F3" cm="1">
        <f t="array" ref="F3:F25">VLOOKUP(E3:E25,A3:D25,3,FALSE)</f>
        <v>425</v>
      </c>
      <c r="G3" s="13" cm="1">
        <f t="array" ref="G3:G25">VLOOKUP(E3:E25,A3:D25,4,FALSE)</f>
        <v>0.26025719534598896</v>
      </c>
    </row>
    <row r="4" spans="1:7" ht="32" customHeight="1">
      <c r="A4" s="5" t="s">
        <v>6</v>
      </c>
      <c r="B4" s="9">
        <v>718</v>
      </c>
      <c r="C4" s="9">
        <v>197</v>
      </c>
      <c r="D4" s="8">
        <f t="shared" ref="D4:D25" si="0">C4/B4</f>
        <v>0.27437325905292481</v>
      </c>
      <c r="E4" s="10" t="s">
        <v>24</v>
      </c>
      <c r="F4">
        <v>124</v>
      </c>
      <c r="G4" s="13">
        <v>0.18049490538573509</v>
      </c>
    </row>
    <row r="5" spans="1:7" ht="32" customHeight="1">
      <c r="A5" s="6" t="s">
        <v>7</v>
      </c>
      <c r="B5" s="7">
        <v>4708</v>
      </c>
      <c r="C5" s="7">
        <v>1235</v>
      </c>
      <c r="D5" s="8">
        <f t="shared" si="0"/>
        <v>0.26231945624468989</v>
      </c>
      <c r="E5" s="11" t="s">
        <v>20</v>
      </c>
      <c r="F5">
        <v>379</v>
      </c>
      <c r="G5" s="13">
        <v>0.21256309590577679</v>
      </c>
    </row>
    <row r="6" spans="1:7" ht="32" customHeight="1">
      <c r="A6" s="5" t="s">
        <v>8</v>
      </c>
      <c r="B6" s="9">
        <v>1418</v>
      </c>
      <c r="C6" s="9">
        <v>382</v>
      </c>
      <c r="D6" s="8">
        <f t="shared" si="0"/>
        <v>0.26939351198871653</v>
      </c>
      <c r="E6" s="10" t="s">
        <v>19</v>
      </c>
      <c r="F6">
        <v>477</v>
      </c>
      <c r="G6" s="13">
        <v>0.22757633587786261</v>
      </c>
    </row>
    <row r="7" spans="1:7" ht="32" customHeight="1">
      <c r="A7" s="6" t="s">
        <v>9</v>
      </c>
      <c r="B7" s="7">
        <v>1356</v>
      </c>
      <c r="C7" s="7">
        <v>356</v>
      </c>
      <c r="D7" s="8">
        <f t="shared" si="0"/>
        <v>0.26253687315634217</v>
      </c>
      <c r="E7" s="11" t="s">
        <v>26</v>
      </c>
      <c r="F7">
        <v>137</v>
      </c>
      <c r="G7" s="13">
        <v>0.18870523415977961</v>
      </c>
    </row>
    <row r="8" spans="1:7" ht="32" customHeight="1">
      <c r="A8" s="5" t="s">
        <v>10</v>
      </c>
      <c r="B8" s="9">
        <v>1883</v>
      </c>
      <c r="C8" s="9">
        <v>498</v>
      </c>
      <c r="D8" s="8">
        <f t="shared" si="0"/>
        <v>0.26447158789166225</v>
      </c>
      <c r="E8" s="10" t="s">
        <v>13</v>
      </c>
      <c r="F8">
        <v>240</v>
      </c>
      <c r="G8" s="13">
        <v>0.24291497975708501</v>
      </c>
    </row>
    <row r="9" spans="1:7" ht="32" customHeight="1">
      <c r="A9" s="6" t="s">
        <v>11</v>
      </c>
      <c r="B9" s="7">
        <v>1327</v>
      </c>
      <c r="C9" s="7">
        <v>328</v>
      </c>
      <c r="D9" s="8">
        <f t="shared" si="0"/>
        <v>0.24717407686510928</v>
      </c>
      <c r="E9" s="11" t="s">
        <v>16</v>
      </c>
      <c r="F9">
        <v>617</v>
      </c>
      <c r="G9" s="13">
        <v>0.22130559540889527</v>
      </c>
    </row>
    <row r="10" spans="1:7" ht="32" customHeight="1">
      <c r="A10" s="5" t="s">
        <v>12</v>
      </c>
      <c r="B10" s="9">
        <v>485</v>
      </c>
      <c r="C10" s="9">
        <v>128</v>
      </c>
      <c r="D10" s="8">
        <f t="shared" si="0"/>
        <v>0.26391752577319588</v>
      </c>
      <c r="E10" s="10" t="s">
        <v>17</v>
      </c>
      <c r="F10">
        <v>767</v>
      </c>
      <c r="G10" s="13">
        <v>0.22059246476847857</v>
      </c>
    </row>
    <row r="11" spans="1:7" ht="32" customHeight="1">
      <c r="A11" s="6" t="s">
        <v>13</v>
      </c>
      <c r="B11" s="7">
        <v>988</v>
      </c>
      <c r="C11" s="7">
        <v>240</v>
      </c>
      <c r="D11" s="8">
        <f t="shared" si="0"/>
        <v>0.24291497975708501</v>
      </c>
      <c r="E11" s="11" t="s">
        <v>23</v>
      </c>
      <c r="F11">
        <v>118</v>
      </c>
      <c r="G11" s="13">
        <v>0.18322981366459629</v>
      </c>
    </row>
    <row r="12" spans="1:7" ht="32" customHeight="1">
      <c r="A12" s="5" t="s">
        <v>14</v>
      </c>
      <c r="B12" s="9">
        <v>3719</v>
      </c>
      <c r="C12" s="9">
        <v>897</v>
      </c>
      <c r="D12" s="8">
        <f t="shared" si="0"/>
        <v>0.2411938693197096</v>
      </c>
      <c r="E12" s="10" t="s">
        <v>11</v>
      </c>
      <c r="F12">
        <v>328</v>
      </c>
      <c r="G12" s="13">
        <v>0.24717407686510928</v>
      </c>
    </row>
    <row r="13" spans="1:7" ht="32" customHeight="1">
      <c r="A13" s="6" t="s">
        <v>15</v>
      </c>
      <c r="B13" s="7">
        <v>505</v>
      </c>
      <c r="C13" s="7">
        <v>125</v>
      </c>
      <c r="D13" s="8">
        <f t="shared" si="0"/>
        <v>0.24752475247524752</v>
      </c>
      <c r="E13" s="11" t="s">
        <v>12</v>
      </c>
      <c r="F13">
        <v>128</v>
      </c>
      <c r="G13" s="13">
        <v>0.26391752577319588</v>
      </c>
    </row>
    <row r="14" spans="1:7" ht="32" customHeight="1">
      <c r="A14" s="5" t="s">
        <v>16</v>
      </c>
      <c r="B14" s="9">
        <v>2788</v>
      </c>
      <c r="C14" s="9">
        <v>617</v>
      </c>
      <c r="D14" s="8">
        <f t="shared" si="0"/>
        <v>0.22130559540889527</v>
      </c>
      <c r="E14" s="10" t="s">
        <v>14</v>
      </c>
      <c r="F14">
        <v>897</v>
      </c>
      <c r="G14" s="13">
        <v>0.2411938693197096</v>
      </c>
    </row>
    <row r="15" spans="1:7" ht="32" customHeight="1">
      <c r="A15" s="6" t="s">
        <v>17</v>
      </c>
      <c r="B15" s="7">
        <v>3477</v>
      </c>
      <c r="C15" s="7">
        <v>767</v>
      </c>
      <c r="D15" s="8">
        <f t="shared" si="0"/>
        <v>0.22059246476847857</v>
      </c>
      <c r="E15" s="11" t="s">
        <v>15</v>
      </c>
      <c r="F15">
        <v>125</v>
      </c>
      <c r="G15" s="13">
        <v>0.24752475247524752</v>
      </c>
    </row>
    <row r="16" spans="1:7" ht="32" customHeight="1">
      <c r="A16" s="5" t="s">
        <v>18</v>
      </c>
      <c r="B16" s="9">
        <v>769</v>
      </c>
      <c r="C16" s="9">
        <v>166</v>
      </c>
      <c r="D16" s="8">
        <f t="shared" si="0"/>
        <v>0.21586475942782835</v>
      </c>
      <c r="E16" s="10" t="s">
        <v>10</v>
      </c>
      <c r="F16">
        <v>498</v>
      </c>
      <c r="G16" s="13">
        <v>0.26447158789166225</v>
      </c>
    </row>
    <row r="17" spans="1:7" ht="32" customHeight="1">
      <c r="A17" s="6" t="s">
        <v>19</v>
      </c>
      <c r="B17" s="7">
        <v>2096</v>
      </c>
      <c r="C17" s="7">
        <v>477</v>
      </c>
      <c r="D17" s="8">
        <f t="shared" si="0"/>
        <v>0.22757633587786261</v>
      </c>
      <c r="E17" s="11" t="s">
        <v>27</v>
      </c>
      <c r="F17">
        <v>294</v>
      </c>
      <c r="G17" s="13">
        <v>0.15441176470588236</v>
      </c>
    </row>
    <row r="18" spans="1:7" ht="32" customHeight="1">
      <c r="A18" s="5" t="s">
        <v>20</v>
      </c>
      <c r="B18" s="9">
        <v>1783</v>
      </c>
      <c r="C18" s="9">
        <v>379</v>
      </c>
      <c r="D18" s="8">
        <f t="shared" si="0"/>
        <v>0.21256309590577679</v>
      </c>
      <c r="E18" s="10" t="s">
        <v>7</v>
      </c>
      <c r="F18">
        <v>1235</v>
      </c>
      <c r="G18" s="13">
        <v>0.26231945624468989</v>
      </c>
    </row>
    <row r="19" spans="1:7" ht="32" customHeight="1">
      <c r="A19" s="6" t="s">
        <v>21</v>
      </c>
      <c r="B19" s="7">
        <v>756</v>
      </c>
      <c r="C19" s="7">
        <v>155</v>
      </c>
      <c r="D19" s="8">
        <f t="shared" si="0"/>
        <v>0.20502645502645503</v>
      </c>
      <c r="E19" s="11" t="s">
        <v>22</v>
      </c>
      <c r="F19">
        <v>229</v>
      </c>
      <c r="G19" s="13">
        <v>0.20123022847100175</v>
      </c>
    </row>
    <row r="20" spans="1:7" ht="32" customHeight="1">
      <c r="A20" s="5" t="s">
        <v>22</v>
      </c>
      <c r="B20" s="9">
        <v>1138</v>
      </c>
      <c r="C20" s="9">
        <v>229</v>
      </c>
      <c r="D20" s="8">
        <f t="shared" si="0"/>
        <v>0.20123022847100175</v>
      </c>
      <c r="E20" s="10" t="s">
        <v>21</v>
      </c>
      <c r="F20">
        <v>155</v>
      </c>
      <c r="G20" s="13">
        <v>0.20502645502645503</v>
      </c>
    </row>
    <row r="21" spans="1:7" ht="32" customHeight="1">
      <c r="A21" s="6" t="s">
        <v>23</v>
      </c>
      <c r="B21" s="7">
        <v>644</v>
      </c>
      <c r="C21" s="7">
        <v>118</v>
      </c>
      <c r="D21" s="8">
        <f t="shared" si="0"/>
        <v>0.18322981366459629</v>
      </c>
      <c r="E21" s="11" t="s">
        <v>6</v>
      </c>
      <c r="F21">
        <v>197</v>
      </c>
      <c r="G21" s="13">
        <v>0.27437325905292481</v>
      </c>
    </row>
    <row r="22" spans="1:7" ht="32" customHeight="1">
      <c r="A22" s="5" t="s">
        <v>24</v>
      </c>
      <c r="B22" s="9">
        <v>687</v>
      </c>
      <c r="C22" s="9">
        <v>124</v>
      </c>
      <c r="D22" s="8">
        <f t="shared" si="0"/>
        <v>0.18049490538573509</v>
      </c>
      <c r="E22" s="10" t="s">
        <v>9</v>
      </c>
      <c r="F22">
        <v>356</v>
      </c>
      <c r="G22" s="13">
        <v>0.26253687315634217</v>
      </c>
    </row>
    <row r="23" spans="1:7" ht="32" customHeight="1">
      <c r="A23" s="6" t="s">
        <v>25</v>
      </c>
      <c r="B23" s="7">
        <v>1089</v>
      </c>
      <c r="C23" s="7">
        <v>185</v>
      </c>
      <c r="D23" s="8">
        <f t="shared" si="0"/>
        <v>0.16988062442607896</v>
      </c>
      <c r="E23" s="11" t="s">
        <v>18</v>
      </c>
      <c r="F23">
        <v>166</v>
      </c>
      <c r="G23" s="13">
        <v>0.21586475942782835</v>
      </c>
    </row>
    <row r="24" spans="1:7" ht="32" customHeight="1">
      <c r="A24" s="5" t="s">
        <v>26</v>
      </c>
      <c r="B24" s="9">
        <v>726</v>
      </c>
      <c r="C24" s="9">
        <v>137</v>
      </c>
      <c r="D24" s="8">
        <f t="shared" si="0"/>
        <v>0.18870523415977961</v>
      </c>
      <c r="E24" s="10" t="s">
        <v>25</v>
      </c>
      <c r="F24">
        <v>185</v>
      </c>
      <c r="G24" s="13">
        <v>0.16988062442607896</v>
      </c>
    </row>
    <row r="25" spans="1:7" ht="32" customHeight="1">
      <c r="A25" s="6" t="s">
        <v>27</v>
      </c>
      <c r="B25" s="7">
        <v>1904</v>
      </c>
      <c r="C25" s="7">
        <v>294</v>
      </c>
      <c r="D25" s="8">
        <f t="shared" si="0"/>
        <v>0.15441176470588236</v>
      </c>
      <c r="E25" s="11" t="s">
        <v>8</v>
      </c>
      <c r="F25">
        <v>382</v>
      </c>
      <c r="G25" s="13">
        <v>0.26939351198871653</v>
      </c>
    </row>
    <row r="26" spans="1:7" ht="24">
      <c r="E26" s="12" t="s">
        <v>4</v>
      </c>
    </row>
  </sheetData>
  <phoneticPr fontId="10" type="noConversion"/>
  <conditionalFormatting sqref="G3:G25">
    <cfRule type="top10" dxfId="4" priority="3" bottom="1" rank="5"/>
    <cfRule type="aboveAverage" dxfId="3" priority="2" aboveAverage="0"/>
  </conditionalFormatting>
  <conditionalFormatting sqref="F3:F25">
    <cfRule type="aboveAverage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by区域明细表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姜子怡</cp:lastModifiedBy>
  <dcterms:created xsi:type="dcterms:W3CDTF">2026-09-14T00:38:20Z</dcterms:created>
  <dcterms:modified xsi:type="dcterms:W3CDTF">2026-09-14T03:33:10Z</dcterms:modified>
</cp:coreProperties>
</file>